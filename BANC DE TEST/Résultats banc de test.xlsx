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U:\Windows\Bureau\PROJET_CAPTEUR\DATASHEET\"/>
    </mc:Choice>
  </mc:AlternateContent>
  <xr:revisionPtr revIDLastSave="0" documentId="8_{077EF730-9265-48FC-8C1D-A02DE29579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" l="1"/>
  <c r="G20" i="1"/>
  <c r="E20" i="1"/>
  <c r="C20" i="1"/>
  <c r="I19" i="1"/>
  <c r="G19" i="1"/>
  <c r="E19" i="1"/>
  <c r="C19" i="1"/>
  <c r="I18" i="1"/>
  <c r="G18" i="1"/>
  <c r="E18" i="1"/>
  <c r="C18" i="1"/>
  <c r="I17" i="1"/>
  <c r="G17" i="1"/>
  <c r="E17" i="1"/>
  <c r="C17" i="1"/>
  <c r="I16" i="1"/>
  <c r="G16" i="1"/>
  <c r="E16" i="1"/>
  <c r="C16" i="1"/>
  <c r="I15" i="1"/>
  <c r="G15" i="1"/>
  <c r="E15" i="1"/>
  <c r="C15" i="1"/>
  <c r="K10" i="1"/>
  <c r="I10" i="1"/>
  <c r="G10" i="1"/>
  <c r="E10" i="1"/>
  <c r="C10" i="1"/>
  <c r="K9" i="1"/>
  <c r="I9" i="1"/>
  <c r="G9" i="1"/>
  <c r="E9" i="1"/>
  <c r="C9" i="1"/>
  <c r="K8" i="1"/>
  <c r="I8" i="1"/>
  <c r="G8" i="1"/>
  <c r="E8" i="1"/>
  <c r="C8" i="1"/>
  <c r="I7" i="1"/>
  <c r="G7" i="1"/>
  <c r="E7" i="1"/>
  <c r="C7" i="1"/>
  <c r="I6" i="1"/>
  <c r="G6" i="1"/>
  <c r="E6" i="1"/>
  <c r="C6" i="1"/>
  <c r="I5" i="1"/>
  <c r="G5" i="1"/>
  <c r="E5" i="1"/>
  <c r="C5" i="1"/>
</calcChain>
</file>

<file path=xl/sharedStrings.xml><?xml version="1.0" encoding="utf-8"?>
<sst xmlns="http://schemas.openxmlformats.org/spreadsheetml/2006/main" count="38" uniqueCount="18">
  <si>
    <t>Diamètre (cm)</t>
  </si>
  <si>
    <t xml:space="preserve">Déformation </t>
  </si>
  <si>
    <t>TENSION</t>
  </si>
  <si>
    <t>B</t>
  </si>
  <si>
    <t>6B</t>
  </si>
  <si>
    <t>3B</t>
  </si>
  <si>
    <t>FLEX SENSOR</t>
  </si>
  <si>
    <t>R mesurée (kOhm)</t>
  </si>
  <si>
    <t>ΔR/R0</t>
  </si>
  <si>
    <t>ΔR/R0 (%)</t>
  </si>
  <si>
    <t>COMPRESSION</t>
  </si>
  <si>
    <t>Données tension</t>
  </si>
  <si>
    <t>Données compression</t>
  </si>
  <si>
    <t>R0 FS (kOhm)</t>
  </si>
  <si>
    <t>R0 B (kOhm)</t>
  </si>
  <si>
    <t>R0 6B (kOHM)</t>
  </si>
  <si>
    <t>R0 3B (kOhm)</t>
  </si>
  <si>
    <t>Epaisseur papier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</si>
</sst>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164" fontId="1" fillId="4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right"/>
    </xf>
    <xf numFmtId="0" fontId="1" fillId="3" borderId="0" xfId="0" applyFont="1" applyFill="1" applyAlignment="1"/>
    <xf numFmtId="0" fontId="1" fillId="3" borderId="0" xfId="0" applyFont="1" applyFill="1"/>
    <xf numFmtId="0" fontId="1" fillId="3" borderId="7" xfId="0" applyFont="1" applyFill="1" applyBorder="1"/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right"/>
    </xf>
    <xf numFmtId="0" fontId="1" fillId="3" borderId="10" xfId="0" applyFont="1" applyFill="1" applyBorder="1" applyAlignment="1"/>
    <xf numFmtId="0" fontId="1" fillId="3" borderId="10" xfId="0" applyFont="1" applyFill="1" applyBorder="1"/>
    <xf numFmtId="0" fontId="1" fillId="3" borderId="11" xfId="0" applyFont="1" applyFill="1" applyBorder="1"/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7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/>
    </xf>
    <xf numFmtId="0" fontId="4" fillId="9" borderId="0" xfId="0" applyFont="1" applyFill="1" applyAlignment="1"/>
    <xf numFmtId="0" fontId="1" fillId="9" borderId="0" xfId="0" applyFont="1" applyFill="1"/>
    <xf numFmtId="0" fontId="1" fillId="9" borderId="0" xfId="0" applyFont="1" applyFill="1" applyAlignment="1"/>
    <xf numFmtId="0" fontId="1" fillId="9" borderId="7" xfId="0" applyFont="1" applyFill="1" applyBorder="1"/>
    <xf numFmtId="0" fontId="1" fillId="8" borderId="9" xfId="0" applyFont="1" applyFill="1" applyBorder="1" applyAlignment="1">
      <alignment horizontal="center"/>
    </xf>
    <xf numFmtId="0" fontId="1" fillId="9" borderId="10" xfId="0" applyFont="1" applyFill="1" applyBorder="1" applyAlignment="1"/>
    <xf numFmtId="0" fontId="1" fillId="9" borderId="10" xfId="0" applyFont="1" applyFill="1" applyBorder="1"/>
    <xf numFmtId="0" fontId="1" fillId="9" borderId="11" xfId="0" applyFont="1" applyFill="1" applyBorder="1"/>
    <xf numFmtId="0" fontId="1" fillId="14" borderId="5" xfId="0" applyFont="1" applyFill="1" applyBorder="1" applyAlignment="1">
      <alignment horizontal="center"/>
    </xf>
    <xf numFmtId="0" fontId="1" fillId="14" borderId="7" xfId="0" applyFont="1" applyFill="1" applyBorder="1" applyAlignment="1">
      <alignment vertical="center"/>
    </xf>
    <xf numFmtId="0" fontId="1" fillId="14" borderId="8" xfId="0" applyFont="1" applyFill="1" applyBorder="1" applyAlignment="1">
      <alignment horizontal="center" wrapText="1"/>
    </xf>
    <xf numFmtId="0" fontId="1" fillId="14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2" fillId="9" borderId="3" xfId="0" applyFont="1" applyFill="1" applyBorder="1" applyAlignment="1">
      <alignment horizontal="center" wrapText="1"/>
    </xf>
    <xf numFmtId="0" fontId="3" fillId="0" borderId="3" xfId="0" applyFont="1" applyBorder="1"/>
    <xf numFmtId="0" fontId="3" fillId="0" borderId="4" xfId="0" applyFont="1" applyBorder="1"/>
    <xf numFmtId="0" fontId="2" fillId="10" borderId="0" xfId="0" applyFont="1" applyFill="1" applyAlignment="1">
      <alignment horizontal="center"/>
    </xf>
    <xf numFmtId="0" fontId="0" fillId="0" borderId="0" xfId="0" applyFont="1" applyAlignment="1"/>
    <xf numFmtId="0" fontId="2" fillId="11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3" fillId="0" borderId="7" xfId="0" applyFont="1" applyBorder="1"/>
    <xf numFmtId="0" fontId="2" fillId="1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Variation relative de résistance en fonction de la déformation (en tension)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>y = 603*x + -1,26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1'!$C$5:$C$10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cat>
          <c:val>
            <c:numRef>
              <c:f>'Feuille 1'!$E$5:$E$10</c:f>
              <c:numCache>
                <c:formatCode>General</c:formatCode>
                <c:ptCount val="6"/>
                <c:pt idx="0">
                  <c:v>6.9872204472843453</c:v>
                </c:pt>
                <c:pt idx="1">
                  <c:v>5.3365282215122471</c:v>
                </c:pt>
                <c:pt idx="2">
                  <c:v>4.1001064962726304</c:v>
                </c:pt>
                <c:pt idx="3">
                  <c:v>3.2460063897763578</c:v>
                </c:pt>
                <c:pt idx="4">
                  <c:v>2.6357827476038338</c:v>
                </c:pt>
                <c:pt idx="5">
                  <c:v>0.89936102236421722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5-4D3B-B945-4375AFE520C4}"/>
            </c:ext>
          </c:extLst>
        </c:ser>
        <c:ser>
          <c:idx val="1"/>
          <c:order val="1"/>
          <c:tx>
            <c:v>6B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>y = 39,1*x + -9,52E-03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1'!$C$5:$C$10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cat>
          <c:val>
            <c:numRef>
              <c:f>'Feuille 1'!$G$5:$G$10</c:f>
              <c:numCache>
                <c:formatCode>General</c:formatCode>
                <c:ptCount val="6"/>
                <c:pt idx="0">
                  <c:v>0.56540084388185652</c:v>
                </c:pt>
                <c:pt idx="1">
                  <c:v>0.3881856540084388</c:v>
                </c:pt>
                <c:pt idx="2">
                  <c:v>0.29113924050632911</c:v>
                </c:pt>
                <c:pt idx="3">
                  <c:v>0.24894514767932491</c:v>
                </c:pt>
                <c:pt idx="4">
                  <c:v>0.24050632911392406</c:v>
                </c:pt>
                <c:pt idx="5">
                  <c:v>0.20253164556962025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E5-4D3B-B945-4375AFE520C4}"/>
            </c:ext>
          </c:extLst>
        </c:ser>
        <c:ser>
          <c:idx val="2"/>
          <c:order val="2"/>
          <c:tx>
            <c:v>3B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trendline>
            <c:name>y = 168*x + -0,558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1'!$C$5:$C$10</c:f>
              <c:numCache>
                <c:formatCode>General</c:formatCode>
                <c:ptCount val="6"/>
                <c:pt idx="0">
                  <c:v>1.4285714285714287E-2</c:v>
                </c:pt>
                <c:pt idx="1">
                  <c:v>1.0526315789473686E-2</c:v>
                </c:pt>
                <c:pt idx="2">
                  <c:v>8.3333333333333332E-3</c:v>
                </c:pt>
                <c:pt idx="3">
                  <c:v>6.8965517241379318E-3</c:v>
                </c:pt>
                <c:pt idx="4">
                  <c:v>5.8823529411764705E-3</c:v>
                </c:pt>
                <c:pt idx="5">
                  <c:v>5.1282051282051282E-3</c:v>
                </c:pt>
              </c:numCache>
            </c:numRef>
          </c:cat>
          <c:val>
            <c:numRef>
              <c:f>'Feuille 1'!$I$5:$I$10</c:f>
              <c:numCache>
                <c:formatCode>General</c:formatCode>
                <c:ptCount val="6"/>
                <c:pt idx="0">
                  <c:v>1.8998073217726397</c:v>
                </c:pt>
                <c:pt idx="1">
                  <c:v>1.1695568400770713</c:v>
                </c:pt>
                <c:pt idx="2">
                  <c:v>0.76300578034682076</c:v>
                </c:pt>
                <c:pt idx="3">
                  <c:v>0.56454720616570331</c:v>
                </c:pt>
                <c:pt idx="4">
                  <c:v>0.45472061657032753</c:v>
                </c:pt>
                <c:pt idx="5">
                  <c:v>0.37957610789980734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EE5-4D3B-B945-4375AFE52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0766987"/>
        <c:axId val="1286237359"/>
      </c:lineChart>
      <c:catAx>
        <c:axId val="1780766987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Déformation (</a:t>
                </a: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ε)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86237359"/>
        <c:crosses val="autoZero"/>
        <c:auto val="1"/>
        <c:lblAlgn val="ctr"/>
        <c:lblOffset val="100"/>
        <c:noMultiLvlLbl val="1"/>
      </c:catAx>
      <c:valAx>
        <c:axId val="128623735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R/R0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8076698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Variation relative de résistance en fonction de la déformation (en compression)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1'!$C$13:$C$20</c:f>
              <c:numCache>
                <c:formatCode>General</c:formatCode>
                <c:ptCount val="8"/>
                <c:pt idx="2">
                  <c:v>1.4285714285714287E-2</c:v>
                </c:pt>
                <c:pt idx="3">
                  <c:v>1.0526315789473686E-2</c:v>
                </c:pt>
                <c:pt idx="4">
                  <c:v>8.3333333333333332E-3</c:v>
                </c:pt>
                <c:pt idx="5">
                  <c:v>6.8965517241379318E-3</c:v>
                </c:pt>
                <c:pt idx="6">
                  <c:v>5.8823529411764705E-3</c:v>
                </c:pt>
                <c:pt idx="7">
                  <c:v>5.1282051282051282E-3</c:v>
                </c:pt>
              </c:numCache>
            </c:numRef>
          </c:cat>
          <c:val>
            <c:numRef>
              <c:f>'Feuille 1'!$E$15:$E$20</c:f>
              <c:numCache>
                <c:formatCode>General</c:formatCode>
                <c:ptCount val="6"/>
                <c:pt idx="0">
                  <c:v>-0.93130990415335468</c:v>
                </c:pt>
                <c:pt idx="1">
                  <c:v>-0.82747603833865813</c:v>
                </c:pt>
                <c:pt idx="2">
                  <c:v>-0.77742279020234295</c:v>
                </c:pt>
                <c:pt idx="3">
                  <c:v>-0.56123535676251335</c:v>
                </c:pt>
                <c:pt idx="4">
                  <c:v>-0.34398296059637912</c:v>
                </c:pt>
                <c:pt idx="5">
                  <c:v>-0.18157614483493079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3E-46A5-B7D6-D0BBF8DF7BDC}"/>
            </c:ext>
          </c:extLst>
        </c:ser>
        <c:ser>
          <c:idx val="1"/>
          <c:order val="1"/>
          <c:tx>
            <c:v>6B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>y = -13,8*x + 0,0364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1'!$C$13:$C$20</c:f>
              <c:numCache>
                <c:formatCode>General</c:formatCode>
                <c:ptCount val="8"/>
                <c:pt idx="2">
                  <c:v>1.4285714285714287E-2</c:v>
                </c:pt>
                <c:pt idx="3">
                  <c:v>1.0526315789473686E-2</c:v>
                </c:pt>
                <c:pt idx="4">
                  <c:v>8.3333333333333332E-3</c:v>
                </c:pt>
                <c:pt idx="5">
                  <c:v>6.8965517241379318E-3</c:v>
                </c:pt>
                <c:pt idx="6">
                  <c:v>5.8823529411764705E-3</c:v>
                </c:pt>
                <c:pt idx="7">
                  <c:v>5.1282051282051282E-3</c:v>
                </c:pt>
              </c:numCache>
            </c:numRef>
          </c:cat>
          <c:val>
            <c:numRef>
              <c:f>'Feuille 1'!$G$15:$G$20</c:f>
              <c:numCache>
                <c:formatCode>General</c:formatCode>
                <c:ptCount val="6"/>
                <c:pt idx="0">
                  <c:v>-0.24159663865546219</c:v>
                </c:pt>
                <c:pt idx="1">
                  <c:v>-0.19327731092436976</c:v>
                </c:pt>
                <c:pt idx="2">
                  <c:v>-0.15336134453781514</c:v>
                </c:pt>
                <c:pt idx="3">
                  <c:v>-0.11764705882352941</c:v>
                </c:pt>
                <c:pt idx="4">
                  <c:v>-9.0336134453781511E-2</c:v>
                </c:pt>
                <c:pt idx="5">
                  <c:v>-4.4117647058823532E-2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3E-46A5-B7D6-D0BBF8DF7BDC}"/>
            </c:ext>
          </c:extLst>
        </c:ser>
        <c:ser>
          <c:idx val="2"/>
          <c:order val="2"/>
          <c:tx>
            <c:v>3B</c:v>
          </c:tx>
          <c:spPr>
            <a:ln cmpd="sng">
              <a:solidFill>
                <a:srgbClr val="FBBC04"/>
              </a:solidFill>
            </a:ln>
          </c:spPr>
          <c:marker>
            <c:symbol val="circle"/>
            <c:size val="2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trendline>
            <c:name>y = -45,8*x + 0,27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numRef>
              <c:f>'Feuille 1'!$C$13:$C$20</c:f>
              <c:numCache>
                <c:formatCode>General</c:formatCode>
                <c:ptCount val="8"/>
                <c:pt idx="2">
                  <c:v>1.4285714285714287E-2</c:v>
                </c:pt>
                <c:pt idx="3">
                  <c:v>1.0526315789473686E-2</c:v>
                </c:pt>
                <c:pt idx="4">
                  <c:v>8.3333333333333332E-3</c:v>
                </c:pt>
                <c:pt idx="5">
                  <c:v>6.8965517241379318E-3</c:v>
                </c:pt>
                <c:pt idx="6">
                  <c:v>5.8823529411764705E-3</c:v>
                </c:pt>
                <c:pt idx="7">
                  <c:v>5.1282051282051282E-3</c:v>
                </c:pt>
              </c:numCache>
            </c:numRef>
          </c:cat>
          <c:val>
            <c:numRef>
              <c:f>'Feuille 1'!$I$15:$I$20</c:f>
              <c:numCache>
                <c:formatCode>General</c:formatCode>
                <c:ptCount val="6"/>
                <c:pt idx="0">
                  <c:v>-0.60886319845857417</c:v>
                </c:pt>
                <c:pt idx="1">
                  <c:v>-0.44701348747591524</c:v>
                </c:pt>
                <c:pt idx="2">
                  <c:v>-0.37572254335260113</c:v>
                </c:pt>
                <c:pt idx="3">
                  <c:v>-0.22543352601156069</c:v>
                </c:pt>
                <c:pt idx="4">
                  <c:v>-0.12138728323699421</c:v>
                </c:pt>
                <c:pt idx="5">
                  <c:v>-3.0828516377649325E-2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F3E-46A5-B7D6-D0BBF8DF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307838"/>
        <c:axId val="1540457616"/>
      </c:lineChart>
      <c:catAx>
        <c:axId val="1098307838"/>
        <c:scaling>
          <c:orientation val="maxMin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Déformation </a:t>
                </a:r>
                <a:r>
                  <a:rPr lang="fr-FR" sz="1000" b="0" i="0" u="none" strike="noStrike" baseline="0">
                    <a:effectLst/>
                  </a:rPr>
                  <a:t>(</a:t>
                </a:r>
                <a:r>
                  <a:rPr lang="el-GR" sz="1000" b="0" i="0" u="none" strike="noStrike" baseline="0">
                    <a:effectLst/>
                  </a:rPr>
                  <a:t>ε)</a:t>
                </a:r>
                <a:endParaRPr lang="fr-FR" b="0">
                  <a:solidFill>
                    <a:srgbClr val="000000"/>
                  </a:solidFill>
                  <a:latin typeface="+mn-lt"/>
                </a:endParaRP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40457616"/>
        <c:crosses val="autoZero"/>
        <c:auto val="1"/>
        <c:lblAlgn val="ctr"/>
        <c:lblOffset val="100"/>
        <c:noMultiLvlLbl val="1"/>
      </c:catAx>
      <c:valAx>
        <c:axId val="154045761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R/R0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98307838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fr-FR" b="0">
                <a:solidFill>
                  <a:srgbClr val="757575"/>
                </a:solidFill>
                <a:latin typeface="+mn-lt"/>
              </a:rPr>
              <a:t>Variation relative de résistance en fonction de la déformation (FlexSensor)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FlexSensor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y = 250*x + 0,855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'Feuille 1'!$C$8:$C$10</c:f>
              <c:numCache>
                <c:formatCode>General</c:formatCode>
                <c:ptCount val="3"/>
                <c:pt idx="0">
                  <c:v>6.8965517241379318E-3</c:v>
                </c:pt>
                <c:pt idx="1">
                  <c:v>5.8823529411764705E-3</c:v>
                </c:pt>
                <c:pt idx="2">
                  <c:v>5.1282051282051282E-3</c:v>
                </c:pt>
              </c:numCache>
            </c:numRef>
          </c:xVal>
          <c:yVal>
            <c:numRef>
              <c:f>'Feuille 1'!$K$8:$K$10</c:f>
              <c:numCache>
                <c:formatCode>General</c:formatCode>
                <c:ptCount val="3"/>
                <c:pt idx="0">
                  <c:v>2.5454545454545454</c:v>
                </c:pt>
                <c:pt idx="1">
                  <c:v>2.4090909090909092</c:v>
                </c:pt>
                <c:pt idx="2">
                  <c:v>2.0909090909090908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FA-4EDF-9CB0-1E6C76BE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329739"/>
        <c:axId val="282568491"/>
      </c:scatterChart>
      <c:valAx>
        <c:axId val="38832973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Déformation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82568491"/>
        <c:crosses val="autoZero"/>
        <c:crossBetween val="midCat"/>
      </c:valAx>
      <c:valAx>
        <c:axId val="2825684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l-GR" b="0">
                    <a:solidFill>
                      <a:srgbClr val="000000"/>
                    </a:solidFill>
                    <a:latin typeface="+mn-lt"/>
                  </a:rPr>
                  <a:t>Δ</a:t>
                </a:r>
                <a:r>
                  <a:rPr lang="fr-FR" b="0">
                    <a:solidFill>
                      <a:srgbClr val="000000"/>
                    </a:solidFill>
                    <a:latin typeface="+mn-lt"/>
                  </a:rPr>
                  <a:t>R/R0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38832973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381001</xdr:colOff>
      <xdr:row>27</xdr:row>
      <xdr:rowOff>171450</xdr:rowOff>
    </xdr:from>
    <xdr:ext cx="8039100" cy="4610100"/>
    <xdr:graphicFrame macro="">
      <xdr:nvGraphicFramePr>
        <xdr:cNvPr id="2" name="Chart 1" title="Graphiqu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47626</xdr:colOff>
      <xdr:row>27</xdr:row>
      <xdr:rowOff>28575</xdr:rowOff>
    </xdr:from>
    <xdr:ext cx="7258050" cy="4810126"/>
    <xdr:graphicFrame macro="">
      <xdr:nvGraphicFramePr>
        <xdr:cNvPr id="3" name="Chart 2" title="Graphiqu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447675</xdr:colOff>
      <xdr:row>52</xdr:row>
      <xdr:rowOff>104775</xdr:rowOff>
    </xdr:from>
    <xdr:ext cx="6096000" cy="3762375"/>
    <xdr:graphicFrame macro="">
      <xdr:nvGraphicFramePr>
        <xdr:cNvPr id="4" name="Chart 3" title="Graphiqu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K27"/>
  <sheetViews>
    <sheetView tabSelected="1" workbookViewId="0">
      <selection activeCell="K16" sqref="K16"/>
    </sheetView>
  </sheetViews>
  <sheetFormatPr baseColWidth="10" defaultColWidth="12.5703125" defaultRowHeight="15.75" customHeight="1" x14ac:dyDescent="0.2"/>
  <cols>
    <col min="1" max="2" width="14.42578125" customWidth="1"/>
    <col min="3" max="3" width="14.140625" customWidth="1"/>
    <col min="9" max="9" width="14.28515625" customWidth="1"/>
  </cols>
  <sheetData>
    <row r="2" spans="2:11" x14ac:dyDescent="0.2">
      <c r="B2" s="33" t="s">
        <v>0</v>
      </c>
      <c r="C2" s="35" t="s">
        <v>1</v>
      </c>
      <c r="D2" s="46" t="s">
        <v>2</v>
      </c>
      <c r="E2" s="38"/>
      <c r="F2" s="38"/>
      <c r="G2" s="38"/>
      <c r="H2" s="38"/>
      <c r="I2" s="38"/>
      <c r="J2" s="38"/>
      <c r="K2" s="39"/>
    </row>
    <row r="3" spans="2:11" x14ac:dyDescent="0.2">
      <c r="B3" s="34"/>
      <c r="C3" s="36"/>
      <c r="D3" s="47" t="s">
        <v>3</v>
      </c>
      <c r="E3" s="41"/>
      <c r="F3" s="48" t="s">
        <v>4</v>
      </c>
      <c r="G3" s="41"/>
      <c r="H3" s="49" t="s">
        <v>5</v>
      </c>
      <c r="I3" s="41"/>
      <c r="J3" s="50" t="s">
        <v>6</v>
      </c>
      <c r="K3" s="44"/>
    </row>
    <row r="4" spans="2:11" ht="25.5" customHeight="1" x14ac:dyDescent="0.2">
      <c r="B4" s="34"/>
      <c r="C4" s="36"/>
      <c r="D4" s="1" t="s">
        <v>7</v>
      </c>
      <c r="E4" s="1" t="s">
        <v>8</v>
      </c>
      <c r="F4" s="2" t="s">
        <v>7</v>
      </c>
      <c r="G4" s="2" t="s">
        <v>9</v>
      </c>
      <c r="H4" s="3" t="s">
        <v>7</v>
      </c>
      <c r="I4" s="3" t="s">
        <v>8</v>
      </c>
      <c r="J4" s="4" t="s">
        <v>7</v>
      </c>
      <c r="K4" s="5" t="s">
        <v>8</v>
      </c>
    </row>
    <row r="5" spans="2:11" x14ac:dyDescent="0.2">
      <c r="B5" s="6">
        <v>1.4</v>
      </c>
      <c r="C5" s="7">
        <f t="shared" ref="C5:C10" si="0">C$27/B5</f>
        <v>1.4285714285714287E-2</v>
      </c>
      <c r="D5" s="8">
        <v>15000</v>
      </c>
      <c r="E5" s="9">
        <f t="shared" ref="E5:E10" si="1">(D5-C$24)/C$24</f>
        <v>6.9872204472843453</v>
      </c>
      <c r="F5" s="8">
        <v>371</v>
      </c>
      <c r="G5" s="9">
        <f t="shared" ref="G5:G10" si="2">(F5-C$25)/C$25</f>
        <v>0.56540084388185652</v>
      </c>
      <c r="H5" s="8">
        <v>1505</v>
      </c>
      <c r="I5" s="9">
        <f t="shared" ref="I5:I10" si="3">(H5-C$26)/C$26</f>
        <v>1.8998073217726397</v>
      </c>
      <c r="J5" s="8"/>
      <c r="K5" s="10"/>
    </row>
    <row r="6" spans="2:11" x14ac:dyDescent="0.2">
      <c r="B6" s="6">
        <v>1.9</v>
      </c>
      <c r="C6" s="7">
        <f t="shared" si="0"/>
        <v>1.0526315789473686E-2</v>
      </c>
      <c r="D6" s="8">
        <v>11900</v>
      </c>
      <c r="E6" s="9">
        <f t="shared" si="1"/>
        <v>5.3365282215122471</v>
      </c>
      <c r="F6" s="8">
        <v>329</v>
      </c>
      <c r="G6" s="9">
        <f t="shared" si="2"/>
        <v>0.3881856540084388</v>
      </c>
      <c r="H6" s="8">
        <v>1126</v>
      </c>
      <c r="I6" s="9">
        <f t="shared" si="3"/>
        <v>1.1695568400770713</v>
      </c>
      <c r="J6" s="8"/>
      <c r="K6" s="10"/>
    </row>
    <row r="7" spans="2:11" x14ac:dyDescent="0.2">
      <c r="B7" s="6">
        <v>2.4</v>
      </c>
      <c r="C7" s="7">
        <f t="shared" si="0"/>
        <v>8.3333333333333332E-3</v>
      </c>
      <c r="D7" s="8">
        <v>9578</v>
      </c>
      <c r="E7" s="9">
        <f t="shared" si="1"/>
        <v>4.1001064962726304</v>
      </c>
      <c r="F7" s="8">
        <v>306</v>
      </c>
      <c r="G7" s="9">
        <f t="shared" si="2"/>
        <v>0.29113924050632911</v>
      </c>
      <c r="H7" s="8">
        <v>915</v>
      </c>
      <c r="I7" s="9">
        <f t="shared" si="3"/>
        <v>0.76300578034682076</v>
      </c>
      <c r="J7" s="8"/>
      <c r="K7" s="10"/>
    </row>
    <row r="8" spans="2:11" x14ac:dyDescent="0.2">
      <c r="B8" s="6">
        <v>2.9</v>
      </c>
      <c r="C8" s="7">
        <f t="shared" si="0"/>
        <v>6.8965517241379318E-3</v>
      </c>
      <c r="D8" s="8">
        <v>7974</v>
      </c>
      <c r="E8" s="9">
        <f t="shared" si="1"/>
        <v>3.2460063897763578</v>
      </c>
      <c r="F8" s="8">
        <v>296</v>
      </c>
      <c r="G8" s="9">
        <f t="shared" si="2"/>
        <v>0.24894514767932491</v>
      </c>
      <c r="H8" s="8">
        <v>812</v>
      </c>
      <c r="I8" s="9">
        <f t="shared" si="3"/>
        <v>0.56454720616570331</v>
      </c>
      <c r="J8" s="8">
        <v>78</v>
      </c>
      <c r="K8" s="10">
        <f t="shared" ref="K8:K10" si="4">(J8-C$23)/C$23</f>
        <v>2.5454545454545454</v>
      </c>
    </row>
    <row r="9" spans="2:11" x14ac:dyDescent="0.2">
      <c r="B9" s="6">
        <v>3.4</v>
      </c>
      <c r="C9" s="7">
        <f t="shared" si="0"/>
        <v>5.8823529411764705E-3</v>
      </c>
      <c r="D9" s="8">
        <v>6828</v>
      </c>
      <c r="E9" s="9">
        <f t="shared" si="1"/>
        <v>2.6357827476038338</v>
      </c>
      <c r="F9" s="8">
        <v>294</v>
      </c>
      <c r="G9" s="9">
        <f t="shared" si="2"/>
        <v>0.24050632911392406</v>
      </c>
      <c r="H9" s="8">
        <v>755</v>
      </c>
      <c r="I9" s="9">
        <f t="shared" si="3"/>
        <v>0.45472061657032753</v>
      </c>
      <c r="J9" s="8">
        <v>75</v>
      </c>
      <c r="K9" s="10">
        <f t="shared" si="4"/>
        <v>2.4090909090909092</v>
      </c>
    </row>
    <row r="10" spans="2:11" x14ac:dyDescent="0.2">
      <c r="B10" s="11">
        <v>3.9</v>
      </c>
      <c r="C10" s="12">
        <f t="shared" si="0"/>
        <v>5.1282051282051282E-3</v>
      </c>
      <c r="D10" s="13">
        <v>3567</v>
      </c>
      <c r="E10" s="14">
        <f t="shared" si="1"/>
        <v>0.89936102236421722</v>
      </c>
      <c r="F10" s="13">
        <v>285</v>
      </c>
      <c r="G10" s="14">
        <f t="shared" si="2"/>
        <v>0.20253164556962025</v>
      </c>
      <c r="H10" s="13">
        <v>716</v>
      </c>
      <c r="I10" s="14">
        <f t="shared" si="3"/>
        <v>0.37957610789980734</v>
      </c>
      <c r="J10" s="13">
        <v>68</v>
      </c>
      <c r="K10" s="15">
        <f t="shared" si="4"/>
        <v>2.0909090909090908</v>
      </c>
    </row>
    <row r="12" spans="2:11" x14ac:dyDescent="0.2">
      <c r="B12" s="33" t="s">
        <v>0</v>
      </c>
      <c r="C12" s="35" t="s">
        <v>1</v>
      </c>
      <c r="D12" s="37" t="s">
        <v>10</v>
      </c>
      <c r="E12" s="38"/>
      <c r="F12" s="38"/>
      <c r="G12" s="38"/>
      <c r="H12" s="38"/>
      <c r="I12" s="39"/>
    </row>
    <row r="13" spans="2:11" x14ac:dyDescent="0.2">
      <c r="B13" s="34"/>
      <c r="C13" s="36"/>
      <c r="D13" s="40" t="s">
        <v>3</v>
      </c>
      <c r="E13" s="41"/>
      <c r="F13" s="42" t="s">
        <v>4</v>
      </c>
      <c r="G13" s="41"/>
      <c r="H13" s="43" t="s">
        <v>5</v>
      </c>
      <c r="I13" s="44"/>
    </row>
    <row r="14" spans="2:11" ht="30.75" customHeight="1" x14ac:dyDescent="0.2">
      <c r="B14" s="34"/>
      <c r="C14" s="36"/>
      <c r="D14" s="16" t="s">
        <v>7</v>
      </c>
      <c r="E14" s="16" t="s">
        <v>8</v>
      </c>
      <c r="F14" s="17" t="s">
        <v>7</v>
      </c>
      <c r="G14" s="17" t="s">
        <v>8</v>
      </c>
      <c r="H14" s="18" t="s">
        <v>7</v>
      </c>
      <c r="I14" s="19" t="s">
        <v>8</v>
      </c>
    </row>
    <row r="15" spans="2:11" x14ac:dyDescent="0.2">
      <c r="B15" s="6">
        <v>1.4</v>
      </c>
      <c r="C15" s="20">
        <f t="shared" ref="C15:C20" si="5">C$27/B15</f>
        <v>1.4285714285714287E-2</v>
      </c>
      <c r="D15" s="21">
        <v>129</v>
      </c>
      <c r="E15" s="22">
        <f t="shared" ref="E15:E20" si="6">(D15-C$24)/C$24</f>
        <v>-0.93130990415335468</v>
      </c>
      <c r="F15" s="23">
        <v>361</v>
      </c>
      <c r="G15" s="22">
        <f t="shared" ref="G15:G20" si="7">(F15-F$25)/F$25</f>
        <v>-0.24159663865546219</v>
      </c>
      <c r="H15" s="23">
        <v>203</v>
      </c>
      <c r="I15" s="24">
        <f t="shared" ref="I15:I20" si="8">(H15-C$26)/C$26</f>
        <v>-0.60886319845857417</v>
      </c>
    </row>
    <row r="16" spans="2:11" x14ac:dyDescent="0.2">
      <c r="B16" s="6">
        <v>1.9</v>
      </c>
      <c r="C16" s="20">
        <f t="shared" si="5"/>
        <v>1.0526315789473686E-2</v>
      </c>
      <c r="D16" s="23">
        <v>324</v>
      </c>
      <c r="E16" s="22">
        <f t="shared" si="6"/>
        <v>-0.82747603833865813</v>
      </c>
      <c r="F16" s="23">
        <v>384</v>
      </c>
      <c r="G16" s="22">
        <f t="shared" si="7"/>
        <v>-0.19327731092436976</v>
      </c>
      <c r="H16" s="23">
        <v>287</v>
      </c>
      <c r="I16" s="24">
        <f t="shared" si="8"/>
        <v>-0.44701348747591524</v>
      </c>
    </row>
    <row r="17" spans="2:9" x14ac:dyDescent="0.2">
      <c r="B17" s="6">
        <v>2.4</v>
      </c>
      <c r="C17" s="20">
        <f t="shared" si="5"/>
        <v>8.3333333333333332E-3</v>
      </c>
      <c r="D17" s="23">
        <v>418</v>
      </c>
      <c r="E17" s="22">
        <f t="shared" si="6"/>
        <v>-0.77742279020234295</v>
      </c>
      <c r="F17" s="23">
        <v>403</v>
      </c>
      <c r="G17" s="22">
        <f t="shared" si="7"/>
        <v>-0.15336134453781514</v>
      </c>
      <c r="H17" s="23">
        <v>324</v>
      </c>
      <c r="I17" s="24">
        <f t="shared" si="8"/>
        <v>-0.37572254335260113</v>
      </c>
    </row>
    <row r="18" spans="2:9" x14ac:dyDescent="0.2">
      <c r="B18" s="6">
        <v>2.9</v>
      </c>
      <c r="C18" s="20">
        <f t="shared" si="5"/>
        <v>6.8965517241379318E-3</v>
      </c>
      <c r="D18" s="21">
        <v>824</v>
      </c>
      <c r="E18" s="22">
        <f t="shared" si="6"/>
        <v>-0.56123535676251335</v>
      </c>
      <c r="F18" s="23">
        <v>420</v>
      </c>
      <c r="G18" s="22">
        <f t="shared" si="7"/>
        <v>-0.11764705882352941</v>
      </c>
      <c r="H18" s="23">
        <v>402</v>
      </c>
      <c r="I18" s="24">
        <f t="shared" si="8"/>
        <v>-0.22543352601156069</v>
      </c>
    </row>
    <row r="19" spans="2:9" x14ac:dyDescent="0.2">
      <c r="B19" s="6">
        <v>3.4</v>
      </c>
      <c r="C19" s="20">
        <f t="shared" si="5"/>
        <v>5.8823529411764705E-3</v>
      </c>
      <c r="D19" s="23">
        <v>1232</v>
      </c>
      <c r="E19" s="22">
        <f t="shared" si="6"/>
        <v>-0.34398296059637912</v>
      </c>
      <c r="F19" s="23">
        <v>433</v>
      </c>
      <c r="G19" s="22">
        <f t="shared" si="7"/>
        <v>-9.0336134453781511E-2</v>
      </c>
      <c r="H19" s="23">
        <v>456</v>
      </c>
      <c r="I19" s="24">
        <f t="shared" si="8"/>
        <v>-0.12138728323699421</v>
      </c>
    </row>
    <row r="20" spans="2:9" x14ac:dyDescent="0.2">
      <c r="B20" s="11">
        <v>3.9</v>
      </c>
      <c r="C20" s="25">
        <f t="shared" si="5"/>
        <v>5.1282051282051282E-3</v>
      </c>
      <c r="D20" s="26">
        <v>1537</v>
      </c>
      <c r="E20" s="27">
        <f t="shared" si="6"/>
        <v>-0.18157614483493079</v>
      </c>
      <c r="F20" s="26">
        <v>455</v>
      </c>
      <c r="G20" s="27">
        <f t="shared" si="7"/>
        <v>-4.4117647058823532E-2</v>
      </c>
      <c r="H20" s="26">
        <v>503</v>
      </c>
      <c r="I20" s="28">
        <f t="shared" si="8"/>
        <v>-3.0828516377649325E-2</v>
      </c>
    </row>
    <row r="22" spans="2:9" x14ac:dyDescent="0.2">
      <c r="B22" s="45" t="s">
        <v>11</v>
      </c>
      <c r="C22" s="39"/>
      <c r="E22" s="45" t="s">
        <v>12</v>
      </c>
      <c r="F22" s="39"/>
    </row>
    <row r="23" spans="2:9" x14ac:dyDescent="0.2">
      <c r="B23" s="29" t="s">
        <v>13</v>
      </c>
      <c r="C23" s="30">
        <v>22</v>
      </c>
      <c r="E23" s="29"/>
      <c r="F23" s="30"/>
    </row>
    <row r="24" spans="2:9" x14ac:dyDescent="0.2">
      <c r="B24" s="29" t="s">
        <v>14</v>
      </c>
      <c r="C24" s="30">
        <v>1878</v>
      </c>
      <c r="E24" s="29" t="s">
        <v>14</v>
      </c>
      <c r="F24" s="30">
        <v>1960</v>
      </c>
    </row>
    <row r="25" spans="2:9" x14ac:dyDescent="0.2">
      <c r="B25" s="29" t="s">
        <v>15</v>
      </c>
      <c r="C25" s="30">
        <v>237</v>
      </c>
      <c r="E25" s="29" t="s">
        <v>15</v>
      </c>
      <c r="F25" s="30">
        <v>476</v>
      </c>
    </row>
    <row r="26" spans="2:9" x14ac:dyDescent="0.2">
      <c r="B26" s="29" t="s">
        <v>16</v>
      </c>
      <c r="C26" s="30">
        <v>519</v>
      </c>
      <c r="E26" s="29" t="s">
        <v>16</v>
      </c>
      <c r="F26" s="30">
        <v>712</v>
      </c>
    </row>
    <row r="27" spans="2:9" x14ac:dyDescent="0.2">
      <c r="B27" s="31" t="s">
        <v>17</v>
      </c>
      <c r="C27" s="32">
        <v>0.02</v>
      </c>
      <c r="E27" s="31" t="s">
        <v>17</v>
      </c>
      <c r="F27" s="32">
        <v>0.02</v>
      </c>
    </row>
  </sheetData>
  <mergeCells count="15">
    <mergeCell ref="B22:C22"/>
    <mergeCell ref="E22:F22"/>
    <mergeCell ref="B2:B4"/>
    <mergeCell ref="C2:C4"/>
    <mergeCell ref="D2:K2"/>
    <mergeCell ref="D3:E3"/>
    <mergeCell ref="F3:G3"/>
    <mergeCell ref="H3:I3"/>
    <mergeCell ref="J3:K3"/>
    <mergeCell ref="B12:B14"/>
    <mergeCell ref="C12:C14"/>
    <mergeCell ref="D12:I12"/>
    <mergeCell ref="D13:E13"/>
    <mergeCell ref="F13:G13"/>
    <mergeCell ref="H13:I13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Marilou Rozieres</dc:creator>
  <cp:lastModifiedBy>Marilou Rozieres</cp:lastModifiedBy>
  <dcterms:created xsi:type="dcterms:W3CDTF">2026-04-15T15:32:28Z</dcterms:created>
  <dcterms:modified xsi:type="dcterms:W3CDTF">2026-04-15T15:32:28Z</dcterms:modified>
</cp:coreProperties>
</file>